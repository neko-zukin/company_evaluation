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-kato\Desktop\company_evaluation\CSV\"/>
    </mc:Choice>
  </mc:AlternateContent>
  <xr:revisionPtr revIDLastSave="0" documentId="13_ncr:1_{28BF94AC-DD26-4F0F-86AC-6D61483D9CD7}" xr6:coauthVersionLast="47" xr6:coauthVersionMax="47" xr10:uidLastSave="{00000000-0000-0000-0000-000000000000}"/>
  <bookViews>
    <workbookView xWindow="-120" yWindow="-120" windowWidth="20730" windowHeight="11040" xr2:uid="{78CE0816-4FFE-4489-9441-40E4ED8B1C64}"/>
  </bookViews>
  <sheets>
    <sheet name="個人成績評価表" sheetId="1" r:id="rId1"/>
    <sheet name="CSV" sheetId="2" r:id="rId2"/>
  </sheets>
  <definedNames>
    <definedName name="_xlnm.Print_Area" localSheetId="0">個人成績評価表!$A$1:$J$48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9" i="1" l="1"/>
  <c r="I39" i="1"/>
  <c r="H39" i="1"/>
  <c r="G39" i="1"/>
  <c r="F39" i="1"/>
  <c r="E39" i="1"/>
  <c r="D39" i="1"/>
  <c r="C39" i="1"/>
  <c r="B39" i="1"/>
  <c r="J38" i="1"/>
  <c r="I38" i="1"/>
  <c r="H38" i="1"/>
  <c r="G38" i="1"/>
  <c r="F38" i="1"/>
  <c r="E38" i="1"/>
  <c r="D38" i="1"/>
  <c r="C38" i="1"/>
  <c r="B38" i="1"/>
  <c r="J37" i="1"/>
  <c r="I37" i="1"/>
  <c r="H37" i="1"/>
  <c r="G37" i="1"/>
  <c r="F37" i="1"/>
  <c r="E37" i="1"/>
  <c r="D37" i="1"/>
  <c r="C37" i="1"/>
  <c r="B37" i="1"/>
  <c r="J36" i="1"/>
  <c r="I36" i="1"/>
  <c r="H36" i="1"/>
  <c r="G36" i="1"/>
  <c r="F36" i="1"/>
  <c r="E36" i="1"/>
  <c r="D36" i="1"/>
  <c r="C36" i="1"/>
  <c r="B36" i="1"/>
  <c r="J35" i="1"/>
  <c r="I35" i="1"/>
  <c r="H35" i="1"/>
  <c r="G35" i="1"/>
  <c r="F35" i="1"/>
  <c r="E35" i="1"/>
  <c r="D35" i="1"/>
  <c r="C35" i="1"/>
  <c r="B35" i="1"/>
  <c r="J34" i="1"/>
  <c r="I34" i="1"/>
  <c r="H34" i="1"/>
  <c r="G34" i="1"/>
  <c r="F34" i="1"/>
  <c r="E34" i="1"/>
  <c r="D34" i="1"/>
  <c r="C34" i="1"/>
  <c r="B34" i="1"/>
  <c r="J33" i="1"/>
  <c r="I33" i="1"/>
  <c r="H33" i="1"/>
  <c r="G33" i="1"/>
  <c r="F33" i="1"/>
  <c r="E33" i="1"/>
  <c r="D33" i="1"/>
  <c r="C33" i="1"/>
  <c r="B33" i="1"/>
  <c r="J32" i="1"/>
  <c r="I32" i="1"/>
  <c r="H32" i="1"/>
  <c r="G32" i="1"/>
  <c r="F32" i="1"/>
  <c r="E32" i="1"/>
  <c r="D32" i="1"/>
  <c r="C32" i="1"/>
  <c r="B32" i="1"/>
  <c r="J31" i="1"/>
  <c r="I31" i="1"/>
  <c r="H31" i="1"/>
  <c r="G31" i="1"/>
  <c r="F31" i="1"/>
  <c r="E31" i="1"/>
  <c r="D31" i="1"/>
  <c r="C31" i="1"/>
  <c r="B31" i="1"/>
  <c r="J30" i="1"/>
  <c r="I30" i="1"/>
  <c r="H30" i="1"/>
  <c r="G30" i="1"/>
  <c r="F30" i="1"/>
  <c r="E30" i="1"/>
  <c r="D30" i="1"/>
  <c r="C30" i="1"/>
  <c r="B30" i="1"/>
  <c r="J29" i="1"/>
  <c r="I29" i="1"/>
  <c r="H29" i="1"/>
  <c r="G29" i="1"/>
  <c r="F29" i="1"/>
  <c r="E29" i="1"/>
  <c r="D29" i="1"/>
  <c r="C29" i="1"/>
  <c r="B29" i="1"/>
  <c r="J28" i="1"/>
  <c r="I28" i="1"/>
  <c r="H28" i="1"/>
  <c r="G28" i="1"/>
  <c r="F28" i="1"/>
  <c r="E28" i="1"/>
  <c r="D28" i="1"/>
  <c r="C28" i="1"/>
  <c r="B28" i="1"/>
  <c r="J27" i="1"/>
  <c r="I27" i="1"/>
  <c r="H27" i="1"/>
  <c r="G27" i="1"/>
  <c r="F27" i="1"/>
  <c r="E27" i="1"/>
  <c r="D27" i="1"/>
  <c r="C27" i="1"/>
  <c r="B27" i="1"/>
  <c r="J26" i="1"/>
  <c r="I26" i="1"/>
  <c r="H26" i="1"/>
  <c r="G26" i="1"/>
  <c r="F26" i="1"/>
  <c r="E26" i="1"/>
  <c r="D26" i="1"/>
  <c r="C26" i="1"/>
  <c r="B26" i="1"/>
  <c r="J25" i="1"/>
  <c r="I25" i="1"/>
  <c r="H25" i="1"/>
  <c r="G25" i="1"/>
  <c r="F25" i="1"/>
  <c r="E25" i="1"/>
  <c r="D25" i="1"/>
  <c r="C25" i="1"/>
  <c r="B25" i="1"/>
  <c r="J24" i="1"/>
  <c r="I24" i="1"/>
  <c r="H24" i="1"/>
  <c r="G24" i="1"/>
  <c r="F24" i="1"/>
  <c r="E24" i="1"/>
  <c r="D24" i="1"/>
  <c r="C24" i="1"/>
  <c r="B24" i="1"/>
  <c r="J23" i="1"/>
  <c r="I23" i="1"/>
  <c r="H23" i="1"/>
  <c r="G23" i="1"/>
  <c r="F23" i="1"/>
  <c r="E23" i="1"/>
  <c r="D23" i="1"/>
  <c r="C23" i="1"/>
  <c r="B23" i="1"/>
  <c r="J22" i="1"/>
  <c r="I22" i="1"/>
  <c r="H22" i="1"/>
  <c r="G22" i="1"/>
  <c r="F22" i="1"/>
  <c r="E22" i="1"/>
  <c r="D22" i="1"/>
  <c r="C22" i="1"/>
  <c r="B22" i="1"/>
  <c r="J21" i="1"/>
  <c r="I21" i="1"/>
  <c r="H21" i="1"/>
  <c r="G21" i="1"/>
  <c r="F21" i="1"/>
  <c r="E21" i="1"/>
  <c r="D21" i="1"/>
  <c r="C21" i="1"/>
  <c r="B21" i="1"/>
  <c r="J20" i="1"/>
  <c r="I20" i="1"/>
  <c r="H20" i="1"/>
  <c r="G20" i="1"/>
  <c r="F20" i="1"/>
  <c r="E20" i="1"/>
  <c r="D20" i="1"/>
  <c r="C20" i="1"/>
  <c r="B20" i="1"/>
  <c r="B44" i="1"/>
  <c r="B43" i="1"/>
  <c r="E44" i="1"/>
  <c r="E43" i="1"/>
  <c r="H44" i="1"/>
  <c r="H43" i="1"/>
  <c r="H13" i="1"/>
  <c r="F14" i="1"/>
  <c r="J45" i="1"/>
  <c r="I45" i="1"/>
  <c r="D45" i="1"/>
  <c r="C45" i="1"/>
  <c r="J44" i="1"/>
  <c r="I44" i="1"/>
  <c r="J43" i="1"/>
  <c r="I43" i="1"/>
  <c r="G44" i="1"/>
  <c r="F44" i="1"/>
  <c r="G43" i="1"/>
  <c r="F43" i="1"/>
  <c r="D44" i="1"/>
  <c r="C44" i="1"/>
  <c r="D43" i="1"/>
  <c r="C43" i="1"/>
  <c r="G14" i="1"/>
  <c r="C11" i="1"/>
  <c r="C10" i="1"/>
  <c r="J10" i="1"/>
  <c r="I10" i="1"/>
  <c r="E8" i="1"/>
  <c r="B8" i="1"/>
  <c r="J5" i="1"/>
  <c r="H5" i="1"/>
  <c r="G5" i="1"/>
  <c r="E5" i="1"/>
  <c r="B5" i="1"/>
  <c r="I1" i="1"/>
  <c r="C14" i="1"/>
  <c r="G10" i="1"/>
  <c r="A1" i="1"/>
  <c r="I2" i="1"/>
</calcChain>
</file>

<file path=xl/sharedStrings.xml><?xml version="1.0" encoding="utf-8"?>
<sst xmlns="http://schemas.openxmlformats.org/spreadsheetml/2006/main" count="45" uniqueCount="28">
  <si>
    <t>氏名</t>
    <rPh sb="0" eb="2">
      <t>シメイ</t>
    </rPh>
    <phoneticPr fontId="2"/>
  </si>
  <si>
    <t>生年月</t>
    <rPh sb="0" eb="2">
      <t>セイネン</t>
    </rPh>
    <rPh sb="2" eb="3">
      <t>ゲツ</t>
    </rPh>
    <phoneticPr fontId="2"/>
  </si>
  <si>
    <t>年齢</t>
    <rPh sb="0" eb="2">
      <t>ネンレイ</t>
    </rPh>
    <phoneticPr fontId="2"/>
  </si>
  <si>
    <t>入社日</t>
    <rPh sb="0" eb="2">
      <t>ニュウシャ</t>
    </rPh>
    <rPh sb="2" eb="3">
      <t>ビ</t>
    </rPh>
    <phoneticPr fontId="2"/>
  </si>
  <si>
    <t>学歴</t>
    <rPh sb="0" eb="2">
      <t>ガクレキ</t>
    </rPh>
    <phoneticPr fontId="2"/>
  </si>
  <si>
    <t>基本給</t>
    <rPh sb="0" eb="3">
      <t>キホンキュウ</t>
    </rPh>
    <phoneticPr fontId="2"/>
  </si>
  <si>
    <t>中途職歴</t>
    <rPh sb="0" eb="2">
      <t>チュウト</t>
    </rPh>
    <rPh sb="2" eb="4">
      <t>ショクレキ</t>
    </rPh>
    <phoneticPr fontId="2"/>
  </si>
  <si>
    <t>合計Cpt</t>
    <rPh sb="0" eb="2">
      <t>ゴウケイ</t>
    </rPh>
    <phoneticPr fontId="2"/>
  </si>
  <si>
    <t>スコア</t>
    <phoneticPr fontId="2"/>
  </si>
  <si>
    <t>IT</t>
    <phoneticPr fontId="2"/>
  </si>
  <si>
    <t>年</t>
    <rPh sb="0" eb="1">
      <t>ネン</t>
    </rPh>
    <phoneticPr fontId="2"/>
  </si>
  <si>
    <t>IT以外</t>
    <rPh sb="2" eb="4">
      <t>イガイ</t>
    </rPh>
    <phoneticPr fontId="2"/>
  </si>
  <si>
    <t>現在</t>
    <rPh sb="0" eb="2">
      <t>ゲンザイ</t>
    </rPh>
    <phoneticPr fontId="2"/>
  </si>
  <si>
    <t>取得タイトル</t>
    <rPh sb="0" eb="2">
      <t>シュトク</t>
    </rPh>
    <phoneticPr fontId="2"/>
  </si>
  <si>
    <t>個人成績評価表</t>
    <rPh sb="0" eb="2">
      <t>コジン</t>
    </rPh>
    <rPh sb="2" eb="4">
      <t>セイセキ</t>
    </rPh>
    <rPh sb="4" eb="6">
      <t>ヒョウカ</t>
    </rPh>
    <rPh sb="6" eb="7">
      <t>ヒョウ</t>
    </rPh>
    <phoneticPr fontId="2"/>
  </si>
  <si>
    <t>社員番号:</t>
    <rPh sb="0" eb="4">
      <t>シャインバンゴウ</t>
    </rPh>
    <phoneticPr fontId="2"/>
  </si>
  <si>
    <t>日付　　:</t>
    <rPh sb="0" eb="2">
      <t>ヒヅケ</t>
    </rPh>
    <phoneticPr fontId="2"/>
  </si>
  <si>
    <t>pt</t>
    <phoneticPr fontId="2"/>
  </si>
  <si>
    <t>Expt</t>
    <phoneticPr fontId="2"/>
  </si>
  <si>
    <t>合計pt</t>
    <rPh sb="0" eb="2">
      <t>ゴウケイ</t>
    </rPh>
    <phoneticPr fontId="2"/>
  </si>
  <si>
    <t>前々年度</t>
    <rPh sb="0" eb="4">
      <t>マエマエネンド</t>
    </rPh>
    <phoneticPr fontId="2"/>
  </si>
  <si>
    <t>前年度</t>
    <rPh sb="0" eb="3">
      <t>マエネンド</t>
    </rPh>
    <phoneticPr fontId="2"/>
  </si>
  <si>
    <t>今年度</t>
    <rPh sb="0" eb="3">
      <t>コンネンド</t>
    </rPh>
    <phoneticPr fontId="2"/>
  </si>
  <si>
    <t>過去三年以前合計</t>
    <rPh sb="0" eb="2">
      <t>カコ</t>
    </rPh>
    <rPh sb="2" eb="4">
      <t>サンネン</t>
    </rPh>
    <rPh sb="4" eb="6">
      <t>イゼン</t>
    </rPh>
    <rPh sb="6" eb="8">
      <t>ゴウケイ</t>
    </rPh>
    <phoneticPr fontId="2"/>
  </si>
  <si>
    <t>総合計</t>
    <rPh sb="0" eb="3">
      <t>ソウゴウケイ</t>
    </rPh>
    <phoneticPr fontId="2"/>
  </si>
  <si>
    <t>ID</t>
    <phoneticPr fontId="2"/>
  </si>
  <si>
    <t>入社時</t>
    <phoneticPr fontId="2"/>
  </si>
  <si>
    <t>勤続年数</t>
    <rPh sb="0" eb="2">
      <t>キンゾク</t>
    </rPh>
    <rPh sb="2" eb="4">
      <t>ネンスウ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</si>
</sst>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F800]dddd\,\ mmmm\ dd\,\ yyyy"/>
    <numFmt numFmtId="177" formatCode="yyyy/m/d;@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20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66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/>
      <right/>
      <top style="thin">
        <color indexed="64"/>
      </top>
      <bottom style="thin">
        <color theme="0" tint="-0.34998626667073579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2" borderId="13" xfId="0" applyFill="1" applyBorder="1" applyAlignment="1">
      <alignment horizontal="left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>
      <alignment vertical="center"/>
    </xf>
    <xf numFmtId="14" fontId="0" fillId="0" borderId="0" xfId="0" applyNumberFormat="1">
      <alignment vertical="center"/>
    </xf>
    <xf numFmtId="0" fontId="0" fillId="0" borderId="1" xfId="0" applyBorder="1" applyAlignment="1">
      <alignment horizontal="left" vertical="center"/>
    </xf>
    <xf numFmtId="0" fontId="3" fillId="2" borderId="8" xfId="0" applyFont="1" applyFill="1" applyBorder="1" applyAlignment="1">
      <alignment horizontal="center" vertical="center" wrapText="1"/>
    </xf>
    <xf numFmtId="0" fontId="0" fillId="4" borderId="0" xfId="0" applyFill="1">
      <alignment vertical="center"/>
    </xf>
    <xf numFmtId="0" fontId="1" fillId="4" borderId="0" xfId="0" applyFont="1" applyFill="1" applyAlignment="1">
      <alignment horizontal="center" vertical="center"/>
    </xf>
    <xf numFmtId="0" fontId="0" fillId="2" borderId="2" xfId="0" applyFill="1" applyBorder="1">
      <alignment vertical="center"/>
    </xf>
    <xf numFmtId="176" fontId="0" fillId="0" borderId="2" xfId="0" applyNumberFormat="1" applyBorder="1" applyAlignment="1">
      <alignment horizontal="left" vertical="center"/>
    </xf>
    <xf numFmtId="0" fontId="4" fillId="2" borderId="2" xfId="0" applyFont="1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right" vertical="center"/>
    </xf>
    <xf numFmtId="0" fontId="0" fillId="5" borderId="5" xfId="0" applyFill="1" applyBorder="1" applyAlignment="1">
      <alignment horizontal="left" vertical="center"/>
    </xf>
    <xf numFmtId="0" fontId="0" fillId="2" borderId="2" xfId="0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" xfId="0" applyNumberFormat="1" applyBorder="1" applyAlignment="1">
      <alignment horizontal="left" vertical="center"/>
    </xf>
    <xf numFmtId="177" fontId="0" fillId="0" borderId="2" xfId="0" applyNumberForma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17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FF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9</xdr:row>
      <xdr:rowOff>88900</xdr:rowOff>
    </xdr:from>
    <xdr:to>
      <xdr:col>4</xdr:col>
      <xdr:colOff>520700</xdr:colOff>
      <xdr:row>10</xdr:row>
      <xdr:rowOff>133350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219325" y="2584450"/>
          <a:ext cx="387350" cy="282575"/>
        </a:xfrm>
        <a:prstGeom prst="rightArrow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241300</xdr:colOff>
      <xdr:row>11</xdr:row>
      <xdr:rowOff>38100</xdr:rowOff>
    </xdr:from>
    <xdr:to>
      <xdr:col>2</xdr:col>
      <xdr:colOff>615950</xdr:colOff>
      <xdr:row>11</xdr:row>
      <xdr:rowOff>222250</xdr:rowOff>
    </xdr:to>
    <xdr:sp macro="" textlink="">
      <xdr:nvSpPr>
        <xdr:cNvPr id="3" name="矢印: 下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55675" y="3009900"/>
          <a:ext cx="374650" cy="184150"/>
        </a:xfrm>
        <a:prstGeom prst="downArrow">
          <a:avLst/>
        </a:prstGeom>
        <a:solidFill>
          <a:sysClr val="window" lastClr="FFFFF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171450</xdr:colOff>
      <xdr:row>13</xdr:row>
      <xdr:rowOff>57150</xdr:rowOff>
    </xdr:from>
    <xdr:to>
      <xdr:col>4</xdr:col>
      <xdr:colOff>558800</xdr:colOff>
      <xdr:row>15</xdr:row>
      <xdr:rowOff>34925</xdr:rowOff>
    </xdr:to>
    <xdr:sp macro="" textlink="">
      <xdr:nvSpPr>
        <xdr:cNvPr id="4" name="矢印: 右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257425" y="3419475"/>
          <a:ext cx="387350" cy="282575"/>
        </a:xfrm>
        <a:prstGeom prst="rightArrow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476250</xdr:colOff>
          <xdr:row>3</xdr:row>
          <xdr:rowOff>57150</xdr:rowOff>
        </xdr:from>
        <xdr:to>
          <xdr:col>15</xdr:col>
          <xdr:colOff>200025</xdr:colOff>
          <xdr:row>7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個人成績評価表出力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8</xdr:row>
          <xdr:rowOff>47625</xdr:rowOff>
        </xdr:from>
        <xdr:to>
          <xdr:col>15</xdr:col>
          <xdr:colOff>19050</xdr:colOff>
          <xdr:row>11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695AD-4A79-4DF3-825B-CC6A807ED077}">
  <sheetPr codeName="Sheet1">
    <pageSetUpPr fitToPage="1"/>
  </sheetPr>
  <dimension ref="A1:L45"/>
  <sheetViews>
    <sheetView tabSelected="1" view="pageBreakPreview" zoomScale="115" zoomScaleNormal="100" zoomScaleSheetLayoutView="115" workbookViewId="0">
      <selection activeCell="J5" sqref="J5"/>
    </sheetView>
  </sheetViews>
  <sheetFormatPr defaultRowHeight="18.75" x14ac:dyDescent="0.4"/>
  <cols>
    <col min="1" max="1" width="0.375" customWidth="1"/>
    <col min="2" max="2" width="13.5" bestFit="1" customWidth="1"/>
    <col min="5" max="5" width="13.5" bestFit="1" customWidth="1"/>
    <col min="8" max="8" width="13.5" bestFit="1" customWidth="1"/>
    <col min="11" max="11" width="0.875" customWidth="1"/>
  </cols>
  <sheetData>
    <row r="1" spans="1:12" x14ac:dyDescent="0.4">
      <c r="A1">
        <f>$A$2</f>
        <v>0</v>
      </c>
      <c r="B1" s="26" t="s">
        <v>14</v>
      </c>
      <c r="C1" s="26"/>
      <c r="D1" s="26"/>
      <c r="E1" s="26"/>
      <c r="F1" s="26"/>
      <c r="G1" s="26"/>
      <c r="H1" s="1" t="s">
        <v>15</v>
      </c>
      <c r="I1" s="27">
        <f>CSV!A2</f>
        <v>0</v>
      </c>
      <c r="J1" s="27"/>
    </row>
    <row r="2" spans="1:12" x14ac:dyDescent="0.4">
      <c r="B2" s="26"/>
      <c r="C2" s="26"/>
      <c r="D2" s="26"/>
      <c r="E2" s="26"/>
      <c r="F2" s="26"/>
      <c r="G2" s="26"/>
      <c r="H2" s="15" t="s">
        <v>16</v>
      </c>
      <c r="I2" s="48">
        <f ca="1">TODAY()</f>
        <v>45176</v>
      </c>
      <c r="J2" s="48"/>
      <c r="L2" s="4"/>
    </row>
    <row r="3" spans="1:12" x14ac:dyDescent="0.4">
      <c r="A3">
        <v>31</v>
      </c>
      <c r="L3" s="4"/>
    </row>
    <row r="4" spans="1:12" ht="21" customHeight="1" x14ac:dyDescent="0.4">
      <c r="B4" s="25" t="s">
        <v>0</v>
      </c>
      <c r="C4" s="25"/>
      <c r="D4" s="25"/>
      <c r="E4" s="25" t="s">
        <v>1</v>
      </c>
      <c r="F4" s="25"/>
      <c r="G4" s="2" t="s">
        <v>2</v>
      </c>
      <c r="H4" s="25" t="s">
        <v>3</v>
      </c>
      <c r="I4" s="25"/>
      <c r="J4" s="16" t="s">
        <v>27</v>
      </c>
    </row>
    <row r="5" spans="1:12" ht="26.1" customHeight="1" x14ac:dyDescent="0.4">
      <c r="B5" s="35">
        <f>CSV!B2</f>
        <v>0</v>
      </c>
      <c r="C5" s="35"/>
      <c r="D5" s="35"/>
      <c r="E5" s="49">
        <f>CSV!C2</f>
        <v>0</v>
      </c>
      <c r="F5" s="49"/>
      <c r="G5" s="3">
        <f>CSV!D2</f>
        <v>0</v>
      </c>
      <c r="H5" s="50">
        <f>CSV!E2</f>
        <v>0</v>
      </c>
      <c r="I5" s="51"/>
      <c r="J5" s="13">
        <f>CSV!F2</f>
        <v>0</v>
      </c>
    </row>
    <row r="7" spans="1:12" x14ac:dyDescent="0.4">
      <c r="B7" s="25" t="s">
        <v>4</v>
      </c>
      <c r="C7" s="25"/>
      <c r="D7" s="25"/>
      <c r="E7" s="25" t="s">
        <v>5</v>
      </c>
      <c r="F7" s="25"/>
      <c r="G7" s="25"/>
      <c r="H7" s="17"/>
      <c r="I7" s="17"/>
      <c r="J7" s="17"/>
    </row>
    <row r="8" spans="1:12" x14ac:dyDescent="0.4">
      <c r="B8" s="28">
        <f>CSV!G2</f>
        <v>0</v>
      </c>
      <c r="C8" s="29"/>
      <c r="D8" s="30"/>
      <c r="E8" s="31">
        <f>CSV!H2</f>
        <v>0</v>
      </c>
      <c r="F8" s="31"/>
      <c r="G8" s="31"/>
      <c r="H8" s="17"/>
      <c r="I8" s="17"/>
      <c r="J8" s="17"/>
    </row>
    <row r="9" spans="1:12" x14ac:dyDescent="0.4">
      <c r="B9" s="39" t="s">
        <v>6</v>
      </c>
      <c r="C9" s="40"/>
      <c r="D9" s="41"/>
      <c r="E9" s="5"/>
      <c r="F9" s="38" t="s">
        <v>19</v>
      </c>
      <c r="G9" s="42"/>
      <c r="H9" s="25" t="s">
        <v>8</v>
      </c>
      <c r="I9" s="2" t="s">
        <v>17</v>
      </c>
      <c r="J9" s="2" t="s">
        <v>18</v>
      </c>
    </row>
    <row r="10" spans="1:12" x14ac:dyDescent="0.4">
      <c r="B10" s="6" t="s">
        <v>9</v>
      </c>
      <c r="C10" s="7">
        <f>CSV!K2</f>
        <v>0</v>
      </c>
      <c r="D10" s="8" t="s">
        <v>10</v>
      </c>
      <c r="E10" s="43"/>
      <c r="F10" s="44" t="s">
        <v>9</v>
      </c>
      <c r="G10" s="46">
        <f>IFERROR(C10*4,"")</f>
        <v>0</v>
      </c>
      <c r="H10" s="25"/>
      <c r="I10" s="35">
        <f>CSV!I2</f>
        <v>0</v>
      </c>
      <c r="J10" s="35">
        <f>CSV!J2</f>
        <v>0</v>
      </c>
    </row>
    <row r="11" spans="1:12" x14ac:dyDescent="0.4">
      <c r="B11" s="9" t="s">
        <v>11</v>
      </c>
      <c r="C11" s="10">
        <f>CSV!L2</f>
        <v>0</v>
      </c>
      <c r="D11" s="11" t="s">
        <v>10</v>
      </c>
      <c r="E11" s="43"/>
      <c r="F11" s="45"/>
      <c r="G11" s="47"/>
      <c r="H11" s="25"/>
      <c r="I11" s="35"/>
      <c r="J11" s="35"/>
    </row>
    <row r="12" spans="1:12" x14ac:dyDescent="0.4">
      <c r="B12" s="12"/>
      <c r="C12" s="12"/>
      <c r="D12" s="12"/>
      <c r="E12" s="12"/>
      <c r="F12" s="12"/>
      <c r="G12" s="12"/>
      <c r="H12" s="12"/>
      <c r="I12" s="12"/>
      <c r="J12" s="12"/>
    </row>
    <row r="13" spans="1:12" ht="12.6" customHeight="1" x14ac:dyDescent="0.4">
      <c r="B13" s="36" t="s">
        <v>11</v>
      </c>
      <c r="C13" s="25" t="s">
        <v>7</v>
      </c>
      <c r="D13" s="25"/>
      <c r="E13" s="5"/>
      <c r="F13" s="22" t="s">
        <v>12</v>
      </c>
      <c r="G13" s="23" t="s">
        <v>26</v>
      </c>
      <c r="H13" s="24">
        <f>CSV!AE2</f>
        <v>0</v>
      </c>
      <c r="I13" s="5"/>
      <c r="J13" s="5"/>
    </row>
    <row r="14" spans="1:12" ht="12.6" customHeight="1" x14ac:dyDescent="0.4">
      <c r="B14" s="37"/>
      <c r="C14" s="35">
        <f>IFERROR(C11*2,"")</f>
        <v>0</v>
      </c>
      <c r="D14" s="35"/>
      <c r="E14" s="5"/>
      <c r="F14" s="34">
        <f>CSV!AD2</f>
        <v>0</v>
      </c>
      <c r="G14" s="32">
        <f>CSV!M2</f>
        <v>0</v>
      </c>
      <c r="H14" s="32"/>
      <c r="I14" s="5"/>
      <c r="J14" s="5"/>
    </row>
    <row r="15" spans="1:12" ht="12.6" customHeight="1" x14ac:dyDescent="0.4">
      <c r="B15" s="37"/>
      <c r="C15" s="35"/>
      <c r="D15" s="35"/>
      <c r="E15" s="5"/>
      <c r="F15" s="34"/>
      <c r="G15" s="33"/>
      <c r="H15" s="33"/>
      <c r="I15" s="5"/>
      <c r="J15" s="5"/>
    </row>
    <row r="16" spans="1:12" ht="12.6" customHeight="1" x14ac:dyDescent="0.4">
      <c r="B16" s="38"/>
      <c r="C16" s="35"/>
      <c r="D16" s="35"/>
      <c r="E16" s="5"/>
      <c r="F16" s="34"/>
      <c r="G16" s="33"/>
      <c r="H16" s="33"/>
      <c r="I16" s="5"/>
      <c r="J16" s="5"/>
    </row>
    <row r="17" spans="2:10" x14ac:dyDescent="0.4">
      <c r="B17" s="4"/>
      <c r="E17" s="17"/>
      <c r="F17" s="17"/>
      <c r="G17" s="17"/>
      <c r="H17" s="5"/>
      <c r="I17" s="5"/>
      <c r="J17" s="18"/>
    </row>
    <row r="18" spans="2:10" x14ac:dyDescent="0.4">
      <c r="B18" s="25" t="s">
        <v>13</v>
      </c>
      <c r="C18" s="25"/>
      <c r="D18" s="25"/>
      <c r="E18" s="25"/>
      <c r="F18" s="25"/>
      <c r="G18" s="25"/>
      <c r="H18" s="25"/>
      <c r="I18" s="25"/>
      <c r="J18" s="25"/>
    </row>
    <row r="19" spans="2:10" x14ac:dyDescent="0.4">
      <c r="B19" s="19" t="s">
        <v>25</v>
      </c>
      <c r="C19" s="2" t="s">
        <v>17</v>
      </c>
      <c r="D19" s="2" t="s">
        <v>18</v>
      </c>
      <c r="E19" s="19" t="s">
        <v>25</v>
      </c>
      <c r="F19" s="2" t="s">
        <v>17</v>
      </c>
      <c r="G19" s="2" t="s">
        <v>18</v>
      </c>
      <c r="H19" s="19" t="s">
        <v>25</v>
      </c>
      <c r="I19" s="2" t="s">
        <v>17</v>
      </c>
      <c r="J19" s="2" t="s">
        <v>18</v>
      </c>
    </row>
    <row r="20" spans="2:10" x14ac:dyDescent="0.4">
      <c r="B20" s="13">
        <f>CSV!AL2</f>
        <v>0</v>
      </c>
      <c r="C20" s="13">
        <f>CSV!AM2</f>
        <v>0</v>
      </c>
      <c r="D20" s="13">
        <f>CSV!AN2</f>
        <v>0</v>
      </c>
      <c r="E20" s="13">
        <f>CSV!AO2</f>
        <v>0</v>
      </c>
      <c r="F20" s="13">
        <f>CSV!AP2</f>
        <v>0</v>
      </c>
      <c r="G20" s="13">
        <f>CSV!AQ2</f>
        <v>0</v>
      </c>
      <c r="H20" s="13">
        <f>CSV!AR2</f>
        <v>0</v>
      </c>
      <c r="I20" s="13">
        <f>CSV!AS2</f>
        <v>0</v>
      </c>
      <c r="J20" s="13">
        <f>CSV!AT2</f>
        <v>0</v>
      </c>
    </row>
    <row r="21" spans="2:10" x14ac:dyDescent="0.4">
      <c r="B21" s="13">
        <f>CSV!AU2</f>
        <v>0</v>
      </c>
      <c r="C21" s="13">
        <f>CSV!AV2</f>
        <v>0</v>
      </c>
      <c r="D21" s="13">
        <f>CSV!AW2</f>
        <v>0</v>
      </c>
      <c r="E21" s="13">
        <f>CSV!AX2</f>
        <v>0</v>
      </c>
      <c r="F21" s="13">
        <f>CSV!AY2</f>
        <v>0</v>
      </c>
      <c r="G21" s="13">
        <f>CSV!AZ2</f>
        <v>0</v>
      </c>
      <c r="H21" s="13">
        <f>CSV!BA2</f>
        <v>0</v>
      </c>
      <c r="I21" s="13">
        <f>CSV!BB2</f>
        <v>0</v>
      </c>
      <c r="J21" s="13">
        <f>CSV!BC2</f>
        <v>0</v>
      </c>
    </row>
    <row r="22" spans="2:10" x14ac:dyDescent="0.4">
      <c r="B22" s="13">
        <f>CSV!BD2</f>
        <v>0</v>
      </c>
      <c r="C22" s="13">
        <f>CSV!BE2</f>
        <v>0</v>
      </c>
      <c r="D22" s="13">
        <f>CSV!BF2</f>
        <v>0</v>
      </c>
      <c r="E22" s="13">
        <f>CSV!BG2</f>
        <v>0</v>
      </c>
      <c r="F22" s="13">
        <f>CSV!BH2</f>
        <v>0</v>
      </c>
      <c r="G22" s="13">
        <f>CSV!BI2</f>
        <v>0</v>
      </c>
      <c r="H22" s="13">
        <f>CSV!BJ2</f>
        <v>0</v>
      </c>
      <c r="I22" s="13">
        <f>CSV!BK2</f>
        <v>0</v>
      </c>
      <c r="J22" s="13">
        <f>CSV!BL2</f>
        <v>0</v>
      </c>
    </row>
    <row r="23" spans="2:10" x14ac:dyDescent="0.4">
      <c r="B23" s="13">
        <f>CSV!BM2</f>
        <v>0</v>
      </c>
      <c r="C23" s="13">
        <f>CSV!BN2</f>
        <v>0</v>
      </c>
      <c r="D23" s="13">
        <f>CSV!BO2</f>
        <v>0</v>
      </c>
      <c r="E23" s="13">
        <f>CSV!BP2</f>
        <v>0</v>
      </c>
      <c r="F23" s="13">
        <f>CSV!BQ2</f>
        <v>0</v>
      </c>
      <c r="G23" s="13">
        <f>CSV!BR2</f>
        <v>0</v>
      </c>
      <c r="H23" s="13">
        <f>CSV!BS2</f>
        <v>0</v>
      </c>
      <c r="I23" s="13">
        <f>CSV!BT2</f>
        <v>0</v>
      </c>
      <c r="J23" s="13">
        <f>CSV!BU2</f>
        <v>0</v>
      </c>
    </row>
    <row r="24" spans="2:10" x14ac:dyDescent="0.4">
      <c r="B24" s="13">
        <f>CSV!BV2</f>
        <v>0</v>
      </c>
      <c r="C24" s="13">
        <f>CSV!BW2</f>
        <v>0</v>
      </c>
      <c r="D24" s="13">
        <f>CSV!BX2</f>
        <v>0</v>
      </c>
      <c r="E24" s="13">
        <f>CSV!BY2</f>
        <v>0</v>
      </c>
      <c r="F24" s="13">
        <f>CSV!BZ2</f>
        <v>0</v>
      </c>
      <c r="G24" s="13">
        <f>CSV!CA2</f>
        <v>0</v>
      </c>
      <c r="H24" s="13">
        <f>CSV!CB2</f>
        <v>0</v>
      </c>
      <c r="I24" s="13">
        <f>CSV!CC2</f>
        <v>0</v>
      </c>
      <c r="J24" s="13">
        <f>CSV!CD2</f>
        <v>0</v>
      </c>
    </row>
    <row r="25" spans="2:10" x14ac:dyDescent="0.4">
      <c r="B25" s="13">
        <f>CSV!CE2</f>
        <v>0</v>
      </c>
      <c r="C25" s="13">
        <f>CSV!CF2</f>
        <v>0</v>
      </c>
      <c r="D25" s="13">
        <f>CSV!CG2</f>
        <v>0</v>
      </c>
      <c r="E25" s="13">
        <f>CSV!CH2</f>
        <v>0</v>
      </c>
      <c r="F25" s="13">
        <f>CSV!CI2</f>
        <v>0</v>
      </c>
      <c r="G25" s="13">
        <f>CSV!CJ2</f>
        <v>0</v>
      </c>
      <c r="H25" s="13">
        <f>CSV!CK2</f>
        <v>0</v>
      </c>
      <c r="I25" s="13">
        <f>CSV!CL2</f>
        <v>0</v>
      </c>
      <c r="J25" s="13">
        <f>CSV!CM2</f>
        <v>0</v>
      </c>
    </row>
    <row r="26" spans="2:10" x14ac:dyDescent="0.4">
      <c r="B26" s="13">
        <f>CSV!CN2</f>
        <v>0</v>
      </c>
      <c r="C26" s="13">
        <f>CSV!CO2</f>
        <v>0</v>
      </c>
      <c r="D26" s="13">
        <f>CSV!CP2</f>
        <v>0</v>
      </c>
      <c r="E26" s="13">
        <f>CSV!CQ2</f>
        <v>0</v>
      </c>
      <c r="F26" s="13">
        <f>CSV!CR2</f>
        <v>0</v>
      </c>
      <c r="G26" s="13">
        <f>CSV!CS2</f>
        <v>0</v>
      </c>
      <c r="H26" s="13">
        <f>CSV!CT2</f>
        <v>0</v>
      </c>
      <c r="I26" s="13">
        <f>CSV!CU2</f>
        <v>0</v>
      </c>
      <c r="J26" s="13">
        <f>CSV!CV2</f>
        <v>0</v>
      </c>
    </row>
    <row r="27" spans="2:10" x14ac:dyDescent="0.4">
      <c r="B27" s="13">
        <f>CSV!CW2</f>
        <v>0</v>
      </c>
      <c r="C27" s="13">
        <f>CSV!CX2</f>
        <v>0</v>
      </c>
      <c r="D27" s="13">
        <f>CSV!CY2</f>
        <v>0</v>
      </c>
      <c r="E27" s="13">
        <f>CSV!CZ2</f>
        <v>0</v>
      </c>
      <c r="F27" s="13">
        <f>CSV!DA2</f>
        <v>0</v>
      </c>
      <c r="G27" s="13">
        <f>CSV!DB2</f>
        <v>0</v>
      </c>
      <c r="H27" s="13">
        <f>CSV!DC2</f>
        <v>0</v>
      </c>
      <c r="I27" s="13">
        <f>CSV!DD2</f>
        <v>0</v>
      </c>
      <c r="J27" s="13">
        <f>CSV!DE2</f>
        <v>0</v>
      </c>
    </row>
    <row r="28" spans="2:10" x14ac:dyDescent="0.4">
      <c r="B28" s="13">
        <f>CSV!DF2</f>
        <v>0</v>
      </c>
      <c r="C28" s="13">
        <f>CSV!DG2</f>
        <v>0</v>
      </c>
      <c r="D28" s="13">
        <f>CSV!DH2</f>
        <v>0</v>
      </c>
      <c r="E28" s="13">
        <f>CSV!DI2</f>
        <v>0</v>
      </c>
      <c r="F28" s="13">
        <f>CSV!DJ2</f>
        <v>0</v>
      </c>
      <c r="G28" s="13">
        <f>CSV!DK2</f>
        <v>0</v>
      </c>
      <c r="H28" s="13">
        <f>CSV!DL2</f>
        <v>0</v>
      </c>
      <c r="I28" s="13">
        <f>CSV!DM2</f>
        <v>0</v>
      </c>
      <c r="J28" s="13">
        <f>CSV!DN2</f>
        <v>0</v>
      </c>
    </row>
    <row r="29" spans="2:10" x14ac:dyDescent="0.4">
      <c r="B29" s="13">
        <f>CSV!DO2</f>
        <v>0</v>
      </c>
      <c r="C29" s="13">
        <f>CSV!DP2</f>
        <v>0</v>
      </c>
      <c r="D29" s="13">
        <f>CSV!DQ2</f>
        <v>0</v>
      </c>
      <c r="E29" s="13">
        <f>CSV!DR2</f>
        <v>0</v>
      </c>
      <c r="F29" s="13">
        <f>CSV!DS2</f>
        <v>0</v>
      </c>
      <c r="G29" s="13">
        <f>CSV!DT2</f>
        <v>0</v>
      </c>
      <c r="H29" s="13">
        <f>CSV!DU2</f>
        <v>0</v>
      </c>
      <c r="I29" s="13">
        <f>CSV!DV2</f>
        <v>0</v>
      </c>
      <c r="J29" s="13">
        <f>CSV!DW2</f>
        <v>0</v>
      </c>
    </row>
    <row r="30" spans="2:10" x14ac:dyDescent="0.4">
      <c r="B30" s="13">
        <f>CSV!DX2</f>
        <v>0</v>
      </c>
      <c r="C30" s="13">
        <f>CSV!DY2</f>
        <v>0</v>
      </c>
      <c r="D30" s="13">
        <f>CSV!DZ2</f>
        <v>0</v>
      </c>
      <c r="E30" s="13">
        <f>CSV!EA2</f>
        <v>0</v>
      </c>
      <c r="F30" s="13">
        <f>CSV!EB2</f>
        <v>0</v>
      </c>
      <c r="G30" s="13">
        <f>CSV!EC2</f>
        <v>0</v>
      </c>
      <c r="H30" s="13">
        <f>CSV!ED2</f>
        <v>0</v>
      </c>
      <c r="I30" s="13">
        <f>CSV!EE2</f>
        <v>0</v>
      </c>
      <c r="J30" s="13">
        <f>CSV!EF2</f>
        <v>0</v>
      </c>
    </row>
    <row r="31" spans="2:10" x14ac:dyDescent="0.4">
      <c r="B31" s="13">
        <f>CSV!EG2</f>
        <v>0</v>
      </c>
      <c r="C31" s="13">
        <f>CSV!EH2</f>
        <v>0</v>
      </c>
      <c r="D31" s="13">
        <f>CSV!EI2</f>
        <v>0</v>
      </c>
      <c r="E31" s="13">
        <f>CSV!EJ2</f>
        <v>0</v>
      </c>
      <c r="F31" s="13">
        <f>CSV!EK2</f>
        <v>0</v>
      </c>
      <c r="G31" s="13">
        <f>CSV!EL2</f>
        <v>0</v>
      </c>
      <c r="H31" s="13">
        <f>CSV!EM2</f>
        <v>0</v>
      </c>
      <c r="I31" s="13">
        <f>CSV!EN2</f>
        <v>0</v>
      </c>
      <c r="J31" s="13">
        <f>CSV!EO2</f>
        <v>0</v>
      </c>
    </row>
    <row r="32" spans="2:10" x14ac:dyDescent="0.4">
      <c r="B32" s="13">
        <f>CSV!EP2</f>
        <v>0</v>
      </c>
      <c r="C32" s="13">
        <f>CSV!EQ2</f>
        <v>0</v>
      </c>
      <c r="D32" s="13">
        <f>CSV!ER2</f>
        <v>0</v>
      </c>
      <c r="E32" s="13">
        <f>CSV!ES2</f>
        <v>0</v>
      </c>
      <c r="F32" s="13">
        <f>CSV!ET2</f>
        <v>0</v>
      </c>
      <c r="G32" s="13">
        <f>CSV!EU2</f>
        <v>0</v>
      </c>
      <c r="H32" s="13">
        <f>CSV!EV2</f>
        <v>0</v>
      </c>
      <c r="I32" s="13">
        <f>CSV!EW2</f>
        <v>0</v>
      </c>
      <c r="J32" s="13">
        <f>CSV!EX2</f>
        <v>0</v>
      </c>
    </row>
    <row r="33" spans="2:10" x14ac:dyDescent="0.4">
      <c r="B33" s="13">
        <f>CSV!EY2</f>
        <v>0</v>
      </c>
      <c r="C33" s="13">
        <f>CSV!EZ2</f>
        <v>0</v>
      </c>
      <c r="D33" s="13">
        <f>CSV!FA2</f>
        <v>0</v>
      </c>
      <c r="E33" s="13">
        <f>CSV!FB2</f>
        <v>0</v>
      </c>
      <c r="F33" s="13">
        <f>CSV!FC2</f>
        <v>0</v>
      </c>
      <c r="G33" s="13">
        <f>CSV!FD2</f>
        <v>0</v>
      </c>
      <c r="H33" s="13">
        <f>CSV!FE2</f>
        <v>0</v>
      </c>
      <c r="I33" s="13">
        <f>CSV!FF2</f>
        <v>0</v>
      </c>
      <c r="J33" s="13">
        <f>CSV!FG2</f>
        <v>0</v>
      </c>
    </row>
    <row r="34" spans="2:10" x14ac:dyDescent="0.4">
      <c r="B34" s="13">
        <f>CSV!FH2</f>
        <v>0</v>
      </c>
      <c r="C34" s="13">
        <f>CSV!FI2</f>
        <v>0</v>
      </c>
      <c r="D34" s="13">
        <f>CSV!FJ2</f>
        <v>0</v>
      </c>
      <c r="E34" s="13">
        <f>CSV!FK2</f>
        <v>0</v>
      </c>
      <c r="F34" s="13">
        <f>CSV!FL2</f>
        <v>0</v>
      </c>
      <c r="G34" s="13">
        <f>CSV!FM2</f>
        <v>0</v>
      </c>
      <c r="H34" s="13">
        <f>CSV!FN2</f>
        <v>0</v>
      </c>
      <c r="I34" s="13">
        <f>CSV!FO2</f>
        <v>0</v>
      </c>
      <c r="J34" s="13">
        <f>CSV!FP2</f>
        <v>0</v>
      </c>
    </row>
    <row r="35" spans="2:10" x14ac:dyDescent="0.4">
      <c r="B35" s="13">
        <f>CSV!FQ2</f>
        <v>0</v>
      </c>
      <c r="C35" s="13">
        <f>CSV!FR2</f>
        <v>0</v>
      </c>
      <c r="D35" s="13">
        <f>CSV!FS2</f>
        <v>0</v>
      </c>
      <c r="E35" s="13">
        <f>CSV!FT2</f>
        <v>0</v>
      </c>
      <c r="F35" s="13">
        <f>CSV!FU2</f>
        <v>0</v>
      </c>
      <c r="G35" s="13">
        <f>CSV!FV2</f>
        <v>0</v>
      </c>
      <c r="H35" s="13">
        <f>CSV!FW2</f>
        <v>0</v>
      </c>
      <c r="I35" s="13">
        <f>CSV!FX2</f>
        <v>0</v>
      </c>
      <c r="J35" s="13">
        <f>CSV!FY2</f>
        <v>0</v>
      </c>
    </row>
    <row r="36" spans="2:10" x14ac:dyDescent="0.4">
      <c r="B36" s="13">
        <f>CSV!FZ2</f>
        <v>0</v>
      </c>
      <c r="C36" s="13">
        <f>CSV!GA2</f>
        <v>0</v>
      </c>
      <c r="D36" s="13">
        <f>CSV!GB2</f>
        <v>0</v>
      </c>
      <c r="E36" s="13">
        <f>CSV!GC2</f>
        <v>0</v>
      </c>
      <c r="F36" s="13">
        <f>CSV!GD2</f>
        <v>0</v>
      </c>
      <c r="G36" s="13">
        <f>CSV!GE2</f>
        <v>0</v>
      </c>
      <c r="H36" s="13">
        <f>CSV!GF2</f>
        <v>0</v>
      </c>
      <c r="I36" s="13">
        <f>CSV!GG2</f>
        <v>0</v>
      </c>
      <c r="J36" s="13">
        <f>CSV!GH2</f>
        <v>0</v>
      </c>
    </row>
    <row r="37" spans="2:10" x14ac:dyDescent="0.4">
      <c r="B37" s="13">
        <f>CSV!GI2</f>
        <v>0</v>
      </c>
      <c r="C37" s="13">
        <f>CSV!GJ2</f>
        <v>0</v>
      </c>
      <c r="D37" s="13">
        <f>CSV!GK2</f>
        <v>0</v>
      </c>
      <c r="E37" s="13">
        <f>CSV!GL2</f>
        <v>0</v>
      </c>
      <c r="F37" s="13">
        <f>CSV!GM2</f>
        <v>0</v>
      </c>
      <c r="G37" s="13">
        <f>CSV!GN2</f>
        <v>0</v>
      </c>
      <c r="H37" s="13">
        <f>CSV!GO2</f>
        <v>0</v>
      </c>
      <c r="I37" s="13">
        <f>CSV!GP2</f>
        <v>0</v>
      </c>
      <c r="J37" s="13">
        <f>CSV!GQ2</f>
        <v>0</v>
      </c>
    </row>
    <row r="38" spans="2:10" x14ac:dyDescent="0.4">
      <c r="B38" s="13">
        <f>CSV!GR2</f>
        <v>0</v>
      </c>
      <c r="C38" s="13">
        <f>CSV!GS2</f>
        <v>0</v>
      </c>
      <c r="D38" s="13">
        <f>CSV!GT2</f>
        <v>0</v>
      </c>
      <c r="E38" s="13">
        <f>CSV!GU2</f>
        <v>0</v>
      </c>
      <c r="F38" s="13">
        <f>CSV!GV2</f>
        <v>0</v>
      </c>
      <c r="G38" s="13">
        <f>CSV!GW2</f>
        <v>0</v>
      </c>
      <c r="H38" s="13">
        <f>CSV!GX2</f>
        <v>0</v>
      </c>
      <c r="I38" s="13">
        <f>CSV!GY2</f>
        <v>0</v>
      </c>
      <c r="J38" s="13">
        <f>CSV!GZ2</f>
        <v>0</v>
      </c>
    </row>
    <row r="39" spans="2:10" x14ac:dyDescent="0.4">
      <c r="B39" s="13">
        <f>CSV!HA2</f>
        <v>0</v>
      </c>
      <c r="C39" s="13">
        <f>CSV!HB2</f>
        <v>0</v>
      </c>
      <c r="D39" s="13">
        <f>CSV!HC2</f>
        <v>0</v>
      </c>
      <c r="E39" s="13">
        <f>CSV!HD2</f>
        <v>0</v>
      </c>
      <c r="F39" s="13">
        <f>CSV!HE2</f>
        <v>0</v>
      </c>
      <c r="G39" s="13">
        <f>CSV!HF2</f>
        <v>0</v>
      </c>
      <c r="H39" s="13">
        <f>CSV!HG2</f>
        <v>0</v>
      </c>
      <c r="I39" s="13">
        <f>CSV!HH2</f>
        <v>0</v>
      </c>
      <c r="J39" s="13">
        <f>CSV!HI2</f>
        <v>0</v>
      </c>
    </row>
    <row r="40" spans="2:10" x14ac:dyDescent="0.4">
      <c r="B40" s="17"/>
      <c r="C40" s="17"/>
      <c r="D40" s="17"/>
      <c r="E40" s="17"/>
      <c r="F40" s="17"/>
      <c r="G40" s="17"/>
      <c r="H40" s="17"/>
      <c r="I40" s="17"/>
      <c r="J40" s="17"/>
    </row>
    <row r="41" spans="2:10" x14ac:dyDescent="0.4">
      <c r="B41" s="17"/>
      <c r="C41" s="17"/>
      <c r="D41" s="17"/>
      <c r="E41" s="17"/>
      <c r="F41" s="17"/>
      <c r="G41" s="17"/>
      <c r="H41" s="17"/>
      <c r="I41" s="17"/>
      <c r="J41" s="17"/>
    </row>
    <row r="42" spans="2:10" x14ac:dyDescent="0.4">
      <c r="B42" s="19" t="s">
        <v>20</v>
      </c>
      <c r="C42" s="19" t="s">
        <v>17</v>
      </c>
      <c r="D42" s="2" t="s">
        <v>18</v>
      </c>
      <c r="E42" s="19" t="s">
        <v>21</v>
      </c>
      <c r="F42" s="19" t="s">
        <v>17</v>
      </c>
      <c r="G42" s="2" t="s">
        <v>18</v>
      </c>
      <c r="H42" s="19" t="s">
        <v>22</v>
      </c>
      <c r="I42" s="19" t="s">
        <v>17</v>
      </c>
      <c r="J42" s="2" t="s">
        <v>18</v>
      </c>
    </row>
    <row r="43" spans="2:10" x14ac:dyDescent="0.4">
      <c r="B43" s="20">
        <f>CSV!AJ2</f>
        <v>0</v>
      </c>
      <c r="C43" s="13">
        <f>CSV!N2</f>
        <v>0</v>
      </c>
      <c r="D43" s="13">
        <f>CSV!O2</f>
        <v>0</v>
      </c>
      <c r="E43" s="20">
        <f>CSV!AH2</f>
        <v>0</v>
      </c>
      <c r="F43" s="13">
        <f>CSV!R2</f>
        <v>0</v>
      </c>
      <c r="G43" s="13">
        <f>CSV!S2</f>
        <v>0</v>
      </c>
      <c r="H43" s="20">
        <f>CSV!AF2</f>
        <v>0</v>
      </c>
      <c r="I43" s="13">
        <f>CSV!V2</f>
        <v>0</v>
      </c>
      <c r="J43" s="13">
        <f>CSV!W2</f>
        <v>0</v>
      </c>
    </row>
    <row r="44" spans="2:10" x14ac:dyDescent="0.4">
      <c r="B44" s="20">
        <f>CSV!AK2</f>
        <v>0</v>
      </c>
      <c r="C44" s="13">
        <f>CSV!P2</f>
        <v>0</v>
      </c>
      <c r="D44" s="13">
        <f>CSV!Q2</f>
        <v>0</v>
      </c>
      <c r="E44" s="20">
        <f>CSV!AI2</f>
        <v>0</v>
      </c>
      <c r="F44" s="13">
        <f>CSV!T2</f>
        <v>0</v>
      </c>
      <c r="G44" s="13">
        <f>CSV!U2</f>
        <v>0</v>
      </c>
      <c r="H44" s="20">
        <f>CSV!AG2</f>
        <v>0</v>
      </c>
      <c r="I44" s="13">
        <f>CSV!X2</f>
        <v>0</v>
      </c>
      <c r="J44" s="13">
        <f>CSV!Y2</f>
        <v>0</v>
      </c>
    </row>
    <row r="45" spans="2:10" x14ac:dyDescent="0.4">
      <c r="B45" s="21" t="s">
        <v>23</v>
      </c>
      <c r="C45" s="13">
        <f>CSV!Z2</f>
        <v>0</v>
      </c>
      <c r="D45" s="13">
        <f>CSV!AA2</f>
        <v>0</v>
      </c>
      <c r="E45" s="25" t="s">
        <v>24</v>
      </c>
      <c r="F45" s="25"/>
      <c r="G45" s="25"/>
      <c r="H45" s="25"/>
      <c r="I45" s="13">
        <f>CSV!AB2</f>
        <v>0</v>
      </c>
      <c r="J45" s="13">
        <f>CSV!AC2</f>
        <v>0</v>
      </c>
    </row>
  </sheetData>
  <mergeCells count="28">
    <mergeCell ref="I2:J2"/>
    <mergeCell ref="B4:D4"/>
    <mergeCell ref="E4:F4"/>
    <mergeCell ref="H4:I4"/>
    <mergeCell ref="B5:D5"/>
    <mergeCell ref="E5:F5"/>
    <mergeCell ref="H5:I5"/>
    <mergeCell ref="E10:E11"/>
    <mergeCell ref="F10:F11"/>
    <mergeCell ref="G10:G11"/>
    <mergeCell ref="B7:D7"/>
    <mergeCell ref="E7:G7"/>
    <mergeCell ref="E45:H45"/>
    <mergeCell ref="B18:J18"/>
    <mergeCell ref="B1:G2"/>
    <mergeCell ref="I1:J1"/>
    <mergeCell ref="B8:D8"/>
    <mergeCell ref="E8:G8"/>
    <mergeCell ref="G14:H16"/>
    <mergeCell ref="F14:F16"/>
    <mergeCell ref="I10:I11"/>
    <mergeCell ref="J10:J11"/>
    <mergeCell ref="B13:B16"/>
    <mergeCell ref="C13:D13"/>
    <mergeCell ref="C14:D16"/>
    <mergeCell ref="B9:D9"/>
    <mergeCell ref="F9:G9"/>
    <mergeCell ref="H9:H11"/>
  </mergeCells>
  <phoneticPr fontId="2"/>
  <pageMargins left="0.7" right="0.7" top="0.75" bottom="0.75" header="0.3" footer="0.3"/>
  <pageSetup paperSize="9" scale="84" fitToHeight="0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個人成績評価表出力">
                <anchor moveWithCells="1" sizeWithCells="1">
                  <from>
                    <xdr:col>11</xdr:col>
                    <xdr:colOff>476250</xdr:colOff>
                    <xdr:row>3</xdr:row>
                    <xdr:rowOff>57150</xdr:rowOff>
                  </from>
                  <to>
                    <xdr:col>15</xdr:col>
                    <xdr:colOff>200025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削除">
                <anchor moveWithCells="1" sizeWithCells="1">
                  <from>
                    <xdr:col>11</xdr:col>
                    <xdr:colOff>571500</xdr:colOff>
                    <xdr:row>8</xdr:row>
                    <xdr:rowOff>47625</xdr:rowOff>
                  </from>
                  <to>
                    <xdr:col>15</xdr:col>
                    <xdr:colOff>19050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BAAA3-D6EB-4194-805D-5F75042B8670}">
  <sheetPr codeName="Sheet2"/>
  <dimension ref="C1:AH1"/>
  <sheetViews>
    <sheetView workbookViewId="0">
      <selection sqref="A1:XFD1048576"/>
    </sheetView>
  </sheetViews>
  <sheetFormatPr defaultRowHeight="18.75" x14ac:dyDescent="0.4"/>
  <sheetData>
    <row r="1" spans="3:34" x14ac:dyDescent="0.4">
      <c r="C1" s="14"/>
      <c r="E1" s="14"/>
      <c r="AH1" s="52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個人成績評価表</vt:lpstr>
      <vt:lpstr>CSV</vt:lpstr>
      <vt:lpstr>個人成績評価表!Print_Area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k-kato</dc:creator>
  <cp:lastModifiedBy>k-kato</cp:lastModifiedBy>
  <cp:lastPrinted>2023-08-25T02:22:41Z</cp:lastPrinted>
  <dcterms:created xsi:type="dcterms:W3CDTF">2023-08-25T00:34:01Z</dcterms:created>
  <dcterms:modified xsi:type="dcterms:W3CDTF">2023-09-07T00:57:55Z</dcterms:modified>
</cp:coreProperties>
</file>